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p\Documents\COS\Spring 2020\General Physics 2\"/>
    </mc:Choice>
  </mc:AlternateContent>
  <xr:revisionPtr revIDLastSave="0" documentId="13_ncr:1_{E492D953-32D6-40B7-AB01-26A928E78E5E}" xr6:coauthVersionLast="44" xr6:coauthVersionMax="44" xr10:uidLastSave="{00000000-0000-0000-0000-000000000000}"/>
  <bookViews>
    <workbookView xWindow="-120" yWindow="-120" windowWidth="29040" windowHeight="15840" xr2:uid="{B67EEDE3-8002-4651-95B3-1001DE2B5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K13" i="1"/>
  <c r="L13" i="1" s="1"/>
  <c r="K12" i="1"/>
  <c r="L12" i="1" s="1"/>
  <c r="K11" i="1"/>
  <c r="K10" i="1"/>
  <c r="L10" i="1" s="1"/>
  <c r="K9" i="1"/>
  <c r="L9" i="1" s="1"/>
  <c r="K8" i="1"/>
  <c r="L8" i="1"/>
  <c r="L11" i="1"/>
  <c r="L7" i="1"/>
  <c r="K7" i="1"/>
  <c r="K3" i="1" l="1"/>
  <c r="L3" i="1" s="1"/>
  <c r="K4" i="1"/>
  <c r="L4" i="1" s="1"/>
  <c r="K5" i="1"/>
  <c r="L5" i="1" s="1"/>
  <c r="K6" i="1"/>
  <c r="L6" i="1" s="1"/>
  <c r="K2" i="1"/>
  <c r="L2" i="1" s="1"/>
  <c r="D2" i="1"/>
  <c r="E2" i="1"/>
  <c r="D6" i="1"/>
  <c r="E6" i="1" s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<sst xmlns="http://schemas.openxmlformats.org/spreadsheetml/2006/main" count="11" uniqueCount="7">
  <si>
    <t>Initial Period</t>
  </si>
  <si>
    <t>Theta</t>
  </si>
  <si>
    <t>Final Period</t>
  </si>
  <si>
    <t>Final Period / Intial Period</t>
  </si>
  <si>
    <t>Seconds</t>
  </si>
  <si>
    <t>New Mass</t>
  </si>
  <si>
    <t>Intial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</si>
</sst>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1" xfId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</a:t>
            </a:r>
            <a:r>
              <a:rPr lang="en-US" baseline="0"/>
              <a:t> Period vs Angle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Final Period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Sheet1!$C$2:$C$13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22</c:v>
                </c:pt>
                <c:pt idx="6">
                  <c:v>27</c:v>
                </c:pt>
                <c:pt idx="7">
                  <c:v>32</c:v>
                </c:pt>
                <c:pt idx="8">
                  <c:v>37</c:v>
                </c:pt>
                <c:pt idx="9">
                  <c:v>42</c:v>
                </c:pt>
                <c:pt idx="10">
                  <c:v>47</c:v>
                </c:pt>
                <c:pt idx="11">
                  <c:v>52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0">
                  <c:v>1.597</c:v>
                </c:pt>
                <c:pt idx="1">
                  <c:v>1.5779999999999998</c:v>
                </c:pt>
                <c:pt idx="2">
                  <c:v>1.6149999999999998</c:v>
                </c:pt>
                <c:pt idx="3">
                  <c:v>1.6160000000000001</c:v>
                </c:pt>
                <c:pt idx="4">
                  <c:v>1.621</c:v>
                </c:pt>
                <c:pt idx="5">
                  <c:v>1.7530000000000001</c:v>
                </c:pt>
                <c:pt idx="6">
                  <c:v>1.766</c:v>
                </c:pt>
                <c:pt idx="7">
                  <c:v>1.7510000000000001</c:v>
                </c:pt>
                <c:pt idx="8">
                  <c:v>1.778</c:v>
                </c:pt>
                <c:pt idx="9">
                  <c:v>1.752</c:v>
                </c:pt>
                <c:pt idx="10">
                  <c:v>1.7670000000000001</c:v>
                </c:pt>
                <c:pt idx="11">
                  <c:v>1.798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5-4C7E-AA0F-BA619F3CC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00048"/>
        <c:axId val="677811488"/>
      </c:scatterChart>
      <c:valAx>
        <c:axId val="55030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11488"/>
        <c:crosses val="autoZero"/>
        <c:crossBetween val="midCat"/>
      </c:valAx>
      <c:valAx>
        <c:axId val="67781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0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Final Period vs Angle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Final Period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Sheet1!$J$2:$J$13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22</c:v>
                </c:pt>
                <c:pt idx="6">
                  <c:v>27</c:v>
                </c:pt>
                <c:pt idx="7">
                  <c:v>32</c:v>
                </c:pt>
                <c:pt idx="8">
                  <c:v>37</c:v>
                </c:pt>
                <c:pt idx="9">
                  <c:v>42</c:v>
                </c:pt>
                <c:pt idx="10">
                  <c:v>47</c:v>
                </c:pt>
                <c:pt idx="11">
                  <c:v>52</c:v>
                </c:pt>
              </c:numCache>
            </c:numRef>
          </c:xVal>
          <c:yVal>
            <c:numRef>
              <c:f>Sheet1!$K$2:$K$13</c:f>
              <c:numCache>
                <c:formatCode>General</c:formatCode>
                <c:ptCount val="12"/>
                <c:pt idx="0">
                  <c:v>1.609</c:v>
                </c:pt>
                <c:pt idx="1">
                  <c:v>1.6140000000000001</c:v>
                </c:pt>
                <c:pt idx="2">
                  <c:v>1.6739999999999999</c:v>
                </c:pt>
                <c:pt idx="3">
                  <c:v>1.641</c:v>
                </c:pt>
                <c:pt idx="4">
                  <c:v>1.6149999999999998</c:v>
                </c:pt>
                <c:pt idx="5">
                  <c:v>1.7</c:v>
                </c:pt>
                <c:pt idx="6">
                  <c:v>1.7120000000000002</c:v>
                </c:pt>
                <c:pt idx="7">
                  <c:v>1.7010000000000001</c:v>
                </c:pt>
                <c:pt idx="8">
                  <c:v>1.6800000000000002</c:v>
                </c:pt>
                <c:pt idx="9">
                  <c:v>1.7670000000000001</c:v>
                </c:pt>
                <c:pt idx="10">
                  <c:v>1.6930000000000001</c:v>
                </c:pt>
                <c:pt idx="11">
                  <c:v>1.6819999999999999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E-4036-BEA9-FE7BC8E2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211424"/>
        <c:axId val="690578864"/>
      </c:scatterChart>
      <c:valAx>
        <c:axId val="68221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78864"/>
        <c:crosses val="autoZero"/>
        <c:crossBetween val="midCat"/>
      </c:valAx>
      <c:valAx>
        <c:axId val="6905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21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6005</xdr:colOff>
      <xdr:row>13</xdr:row>
      <xdr:rowOff>75052</xdr:rowOff>
    </xdr:from>
    <xdr:to>
      <xdr:col>5</xdr:col>
      <xdr:colOff>447559</xdr:colOff>
      <xdr:row>28</xdr:row>
      <xdr:rowOff>103283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BCBA66-A375-4D57-BD82-49556C212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13008</xdr:colOff>
      <xdr:row>13</xdr:row>
      <xdr:rowOff>43761</xdr:rowOff>
    </xdr:from>
    <xdr:to>
      <xdr:col>12</xdr:col>
      <xdr:colOff>275423</xdr:colOff>
      <xdr:row>28</xdr:row>
      <xdr:rowOff>32745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164775-3B65-472C-99A7-406782849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0194-829A-4103-8C2E-F25B8FAA47B4}">
  <dimension ref="A1:L13"/>
  <sheetViews>
    <sheetView tabSelected="1" zoomScale="83" workbookViewId="0">
      <selection activeCell="O12" sqref="O12"/>
    </sheetView>
  </sheetViews>
  <sheetFormatPr defaultRowHeight="15" x14ac:dyDescent="0.25"/>
  <cols>
    <col min="1" max="1" width="12.42578125" bestFit="1" customWidth="1"/>
    <col min="2" max="2" width="8.28515625" bestFit="1" customWidth="1"/>
    <col min="3" max="3" width="6" bestFit="1" customWidth="1"/>
    <col min="4" max="4" width="11.5703125" bestFit="1" customWidth="1"/>
    <col min="5" max="5" width="24.5703125" bestFit="1" customWidth="1"/>
    <col min="7" max="7" width="10.140625" bestFit="1" customWidth="1"/>
    <col min="8" max="8" width="11.85546875" bestFit="1" customWidth="1"/>
    <col min="9" max="9" width="8.28515625" bestFit="1" customWidth="1"/>
    <col min="10" max="10" width="6" bestFit="1" customWidth="1"/>
    <col min="11" max="11" width="11.5703125" bestFit="1" customWidth="1"/>
    <col min="12" max="12" width="24.5703125" bestFit="1" customWidth="1"/>
  </cols>
  <sheetData>
    <row r="1" spans="1:12" ht="15.75" thickBot="1" x14ac:dyDescent="0.3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/>
      <c r="G1" s="2" t="s">
        <v>5</v>
      </c>
      <c r="H1" s="2" t="s">
        <v>6</v>
      </c>
      <c r="I1" s="2" t="s">
        <v>4</v>
      </c>
      <c r="J1" s="2" t="s">
        <v>1</v>
      </c>
      <c r="K1" s="2" t="s">
        <v>2</v>
      </c>
      <c r="L1" s="2" t="s">
        <v>3</v>
      </c>
    </row>
    <row r="2" spans="1:12" x14ac:dyDescent="0.25">
      <c r="A2">
        <v>1.6539999999999999</v>
      </c>
      <c r="B2">
        <v>15.97</v>
      </c>
      <c r="C2">
        <v>5</v>
      </c>
      <c r="D2">
        <f>(B2)/(10)</f>
        <v>1.597</v>
      </c>
      <c r="E2" s="1">
        <f>(D2)/(A2)</f>
        <v>0.96553808948004838</v>
      </c>
      <c r="G2">
        <v>65.2</v>
      </c>
      <c r="H2">
        <v>1.645</v>
      </c>
      <c r="I2">
        <v>16.09</v>
      </c>
      <c r="J2">
        <v>5</v>
      </c>
      <c r="K2">
        <f>(I2)/(10)</f>
        <v>1.609</v>
      </c>
      <c r="L2">
        <f>(K2)/(H2)</f>
        <v>0.97811550151975679</v>
      </c>
    </row>
    <row r="3" spans="1:12" x14ac:dyDescent="0.25">
      <c r="A3">
        <v>1.6539999999999999</v>
      </c>
      <c r="B3">
        <v>15.78</v>
      </c>
      <c r="C3">
        <v>8</v>
      </c>
      <c r="D3">
        <f>(B3)/(10)</f>
        <v>1.5779999999999998</v>
      </c>
      <c r="E3" s="1">
        <f>(D3)/(A3)</f>
        <v>0.95405078597339776</v>
      </c>
      <c r="H3">
        <v>1.645</v>
      </c>
      <c r="I3">
        <v>16.14</v>
      </c>
      <c r="J3">
        <v>8</v>
      </c>
      <c r="K3">
        <f t="shared" ref="K3:K13" si="0">(I3)/(10)</f>
        <v>1.6140000000000001</v>
      </c>
      <c r="L3">
        <f t="shared" ref="L3:L13" si="1">(K3)/(H3)</f>
        <v>0.98115501519756843</v>
      </c>
    </row>
    <row r="4" spans="1:12" x14ac:dyDescent="0.25">
      <c r="A4">
        <v>1.6539999999999999</v>
      </c>
      <c r="B4">
        <v>16.149999999999999</v>
      </c>
      <c r="C4">
        <v>11</v>
      </c>
      <c r="D4">
        <f>(B4)/(10)</f>
        <v>1.6149999999999998</v>
      </c>
      <c r="E4" s="1">
        <f>(D4)/(A4)</f>
        <v>0.97642079806529614</v>
      </c>
      <c r="H4">
        <v>1.645</v>
      </c>
      <c r="I4">
        <v>16.739999999999998</v>
      </c>
      <c r="J4">
        <v>11</v>
      </c>
      <c r="K4">
        <f t="shared" si="0"/>
        <v>1.6739999999999999</v>
      </c>
      <c r="L4">
        <f t="shared" si="1"/>
        <v>1.017629179331307</v>
      </c>
    </row>
    <row r="5" spans="1:12" x14ac:dyDescent="0.25">
      <c r="A5">
        <v>1.6539999999999999</v>
      </c>
      <c r="B5">
        <v>16.16</v>
      </c>
      <c r="C5">
        <v>14</v>
      </c>
      <c r="D5">
        <f>(B5)/(10)</f>
        <v>1.6160000000000001</v>
      </c>
      <c r="E5" s="1">
        <f>(D5)/(A5)</f>
        <v>0.97702539298669899</v>
      </c>
      <c r="H5">
        <v>1.645</v>
      </c>
      <c r="I5">
        <v>16.41</v>
      </c>
      <c r="J5">
        <v>14</v>
      </c>
      <c r="K5">
        <f t="shared" si="0"/>
        <v>1.641</v>
      </c>
      <c r="L5">
        <f t="shared" si="1"/>
        <v>0.9975683890577508</v>
      </c>
    </row>
    <row r="6" spans="1:12" x14ac:dyDescent="0.25">
      <c r="A6">
        <v>1.6539999999999999</v>
      </c>
      <c r="B6">
        <v>16.21</v>
      </c>
      <c r="C6">
        <v>17</v>
      </c>
      <c r="D6">
        <f>(B6)/(10)</f>
        <v>1.621</v>
      </c>
      <c r="E6" s="1">
        <f>(D6)/(A6)</f>
        <v>0.98004836759371228</v>
      </c>
      <c r="H6">
        <v>1.645</v>
      </c>
      <c r="I6">
        <v>16.149999999999999</v>
      </c>
      <c r="J6">
        <v>17</v>
      </c>
      <c r="K6">
        <f t="shared" si="0"/>
        <v>1.6149999999999998</v>
      </c>
      <c r="L6">
        <f t="shared" si="1"/>
        <v>0.98176291793313053</v>
      </c>
    </row>
    <row r="7" spans="1:12" x14ac:dyDescent="0.25">
      <c r="A7">
        <v>1.6539999999999999</v>
      </c>
      <c r="B7">
        <v>17.53</v>
      </c>
      <c r="C7">
        <v>22</v>
      </c>
      <c r="D7">
        <f t="shared" ref="D7:D13" si="2">(B7)/(10)</f>
        <v>1.7530000000000001</v>
      </c>
      <c r="E7" s="1">
        <f t="shared" ref="E7:E13" si="3">(D7)/(A7)</f>
        <v>1.0598548972188635</v>
      </c>
      <c r="H7">
        <v>1.645</v>
      </c>
      <c r="I7">
        <v>17</v>
      </c>
      <c r="J7">
        <v>22</v>
      </c>
      <c r="K7">
        <f t="shared" si="0"/>
        <v>1.7</v>
      </c>
      <c r="L7">
        <f t="shared" si="1"/>
        <v>1.0334346504559271</v>
      </c>
    </row>
    <row r="8" spans="1:12" x14ac:dyDescent="0.25">
      <c r="A8">
        <v>1.6539999999999999</v>
      </c>
      <c r="B8">
        <v>17.66</v>
      </c>
      <c r="C8">
        <v>27</v>
      </c>
      <c r="D8">
        <f t="shared" si="2"/>
        <v>1.766</v>
      </c>
      <c r="E8" s="1">
        <f t="shared" si="3"/>
        <v>1.067714631197098</v>
      </c>
      <c r="H8">
        <v>1.645</v>
      </c>
      <c r="I8">
        <v>17.12</v>
      </c>
      <c r="J8">
        <v>27</v>
      </c>
      <c r="K8">
        <f t="shared" si="0"/>
        <v>1.7120000000000002</v>
      </c>
      <c r="L8">
        <f t="shared" si="1"/>
        <v>1.0407294832826748</v>
      </c>
    </row>
    <row r="9" spans="1:12" x14ac:dyDescent="0.25">
      <c r="A9">
        <v>1.6539999999999999</v>
      </c>
      <c r="B9">
        <v>17.510000000000002</v>
      </c>
      <c r="C9">
        <v>32</v>
      </c>
      <c r="D9">
        <f t="shared" si="2"/>
        <v>1.7510000000000001</v>
      </c>
      <c r="E9" s="1">
        <f t="shared" si="3"/>
        <v>1.0586457073760582</v>
      </c>
      <c r="H9">
        <v>1.645</v>
      </c>
      <c r="I9">
        <v>17.010000000000002</v>
      </c>
      <c r="J9">
        <v>32</v>
      </c>
      <c r="K9">
        <f t="shared" si="0"/>
        <v>1.7010000000000001</v>
      </c>
      <c r="L9">
        <f t="shared" si="1"/>
        <v>1.0340425531914894</v>
      </c>
    </row>
    <row r="10" spans="1:12" x14ac:dyDescent="0.25">
      <c r="A10">
        <v>1.6539999999999999</v>
      </c>
      <c r="B10">
        <v>17.78</v>
      </c>
      <c r="C10">
        <v>37</v>
      </c>
      <c r="D10">
        <f t="shared" si="2"/>
        <v>1.778</v>
      </c>
      <c r="E10" s="1">
        <f t="shared" si="3"/>
        <v>1.07496977025393</v>
      </c>
      <c r="H10">
        <v>1.645</v>
      </c>
      <c r="I10">
        <v>16.8</v>
      </c>
      <c r="J10">
        <v>37</v>
      </c>
      <c r="K10">
        <f t="shared" si="0"/>
        <v>1.6800000000000002</v>
      </c>
      <c r="L10">
        <f t="shared" si="1"/>
        <v>1.021276595744681</v>
      </c>
    </row>
    <row r="11" spans="1:12" x14ac:dyDescent="0.25">
      <c r="A11">
        <v>1.6539999999999999</v>
      </c>
      <c r="B11">
        <v>17.52</v>
      </c>
      <c r="C11">
        <v>42</v>
      </c>
      <c r="D11">
        <f t="shared" si="2"/>
        <v>1.752</v>
      </c>
      <c r="E11" s="1">
        <f t="shared" si="3"/>
        <v>1.0592503022974609</v>
      </c>
      <c r="H11">
        <v>1.645</v>
      </c>
      <c r="I11">
        <v>17.670000000000002</v>
      </c>
      <c r="J11">
        <v>42</v>
      </c>
      <c r="K11">
        <f t="shared" si="0"/>
        <v>1.7670000000000001</v>
      </c>
      <c r="L11">
        <f t="shared" si="1"/>
        <v>1.0741641337386019</v>
      </c>
    </row>
    <row r="12" spans="1:12" x14ac:dyDescent="0.25">
      <c r="A12">
        <v>1.6539999999999999</v>
      </c>
      <c r="B12">
        <v>17.670000000000002</v>
      </c>
      <c r="C12">
        <v>47</v>
      </c>
      <c r="D12">
        <f t="shared" si="2"/>
        <v>1.7670000000000001</v>
      </c>
      <c r="E12" s="1">
        <f t="shared" si="3"/>
        <v>1.0683192261185008</v>
      </c>
      <c r="H12">
        <v>1.645</v>
      </c>
      <c r="I12">
        <v>16.93</v>
      </c>
      <c r="J12">
        <v>47</v>
      </c>
      <c r="K12">
        <f t="shared" si="0"/>
        <v>1.6930000000000001</v>
      </c>
      <c r="L12">
        <f t="shared" si="1"/>
        <v>1.0291793313069908</v>
      </c>
    </row>
    <row r="13" spans="1:12" x14ac:dyDescent="0.25">
      <c r="A13">
        <v>1.6539999999999999</v>
      </c>
      <c r="B13">
        <v>17.98</v>
      </c>
      <c r="C13">
        <v>52</v>
      </c>
      <c r="D13">
        <f t="shared" si="2"/>
        <v>1.798</v>
      </c>
      <c r="E13" s="1">
        <f t="shared" si="3"/>
        <v>1.0870616686819832</v>
      </c>
      <c r="H13">
        <v>1.645</v>
      </c>
      <c r="I13">
        <v>16.82</v>
      </c>
      <c r="J13">
        <v>52</v>
      </c>
      <c r="K13">
        <f t="shared" si="0"/>
        <v>1.6819999999999999</v>
      </c>
      <c r="L13">
        <f t="shared" si="1"/>
        <v>1.0224924012158054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Cardenas</dc:creator>
  <cp:lastModifiedBy>Emmanuel Cardenas</cp:lastModifiedBy>
  <dcterms:created xsi:type="dcterms:W3CDTF">2020-03-05T18:03:43Z</dcterms:created>
  <dcterms:modified xsi:type="dcterms:W3CDTF">2020-03-12T01:26:51Z</dcterms:modified>
</cp:coreProperties>
</file>